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pshrek\Downloads\"/>
    </mc:Choice>
  </mc:AlternateContent>
  <xr:revisionPtr revIDLastSave="0" documentId="13_ncr:1_{66EA8CF9-7293-4CB0-9D7F-8BC727B28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Учет сдело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" i="1" l="1"/>
  <c r="U6" i="1" s="1"/>
  <c r="S5" i="1"/>
  <c r="U5" i="1" s="1"/>
  <c r="V5" i="1" s="1"/>
  <c r="S4" i="1"/>
  <c r="U3" i="1"/>
  <c r="S3" i="1"/>
  <c r="V3" i="1" s="1"/>
  <c r="Y3" i="1" l="1"/>
  <c r="X3" i="1"/>
  <c r="W3" i="1"/>
  <c r="Z3" i="1" s="1"/>
  <c r="AA3" i="1" s="1"/>
  <c r="V4" i="1"/>
  <c r="Z5" i="1"/>
  <c r="AA5" i="1" s="1"/>
  <c r="Y5" i="1"/>
  <c r="X5" i="1"/>
  <c r="W5" i="1"/>
  <c r="V6" i="1"/>
  <c r="U4" i="1"/>
  <c r="AE3" i="1" l="1"/>
  <c r="AD3" i="1"/>
  <c r="AC3" i="1"/>
  <c r="AB3" i="1"/>
  <c r="AC5" i="1"/>
  <c r="AD5" i="1"/>
  <c r="AB5" i="1"/>
  <c r="AE5" i="1"/>
  <c r="X4" i="1"/>
  <c r="W4" i="1"/>
  <c r="Z4" i="1" s="1"/>
  <c r="AA4" i="1" s="1"/>
  <c r="Y4" i="1"/>
  <c r="X6" i="1"/>
  <c r="Y6" i="1"/>
  <c r="W6" i="1"/>
  <c r="Z6" i="1" s="1"/>
  <c r="AA6" i="1" s="1"/>
  <c r="AC4" i="1" l="1"/>
  <c r="AB4" i="1"/>
  <c r="AE4" i="1"/>
  <c r="AD4" i="1"/>
  <c r="AE6" i="1"/>
  <c r="AD6" i="1"/>
  <c r="AC6" i="1"/>
  <c r="AB6" i="1"/>
</calcChain>
</file>

<file path=xl/sharedStrings.xml><?xml version="1.0" encoding="utf-8"?>
<sst xmlns="http://schemas.openxmlformats.org/spreadsheetml/2006/main" count="48" uniqueCount="26">
  <si>
    <t>Дата</t>
  </si>
  <si>
    <t>Мен 1</t>
  </si>
  <si>
    <t>Мен 2</t>
  </si>
  <si>
    <t>Мен 3</t>
  </si>
  <si>
    <t>Мен 4</t>
  </si>
  <si>
    <t>Инфо</t>
  </si>
  <si>
    <t>ОЛХ</t>
  </si>
  <si>
    <t>ИИ</t>
  </si>
  <si>
    <t>Сумма 
сделки</t>
  </si>
  <si>
    <t>Валюта</t>
  </si>
  <si>
    <t>Курс</t>
  </si>
  <si>
    <t>Сумма 
сделки долл</t>
  </si>
  <si>
    <t>% 
выгруза</t>
  </si>
  <si>
    <t>Себестоимость
выгруза</t>
  </si>
  <si>
    <t>Поступление</t>
  </si>
  <si>
    <t>Ост сделки</t>
  </si>
  <si>
    <t>ЗП
фонд</t>
  </si>
  <si>
    <t>Менеджер</t>
  </si>
  <si>
    <t>Бонус</t>
  </si>
  <si>
    <t>Таня</t>
  </si>
  <si>
    <t>Кар</t>
  </si>
  <si>
    <t>Коля</t>
  </si>
  <si>
    <t>pl</t>
  </si>
  <si>
    <t>Олег</t>
  </si>
  <si>
    <t>Коля к2</t>
  </si>
  <si>
    <t>Вадим2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</si>
</sst>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2" xfId="0" applyFont="1" applyBorder="1" applyAlignment="1"/>
    <xf numFmtId="9" fontId="1" fillId="0" borderId="2" xfId="0" applyNumberFormat="1" applyFont="1" applyBorder="1" applyAlignment="1">
      <alignment horizontal="right"/>
    </xf>
    <xf numFmtId="9" fontId="1" fillId="0" borderId="2" xfId="0" applyNumberFormat="1" applyFont="1" applyBorder="1" applyAlignment="1"/>
    <xf numFmtId="4" fontId="1" fillId="0" borderId="2" xfId="0" applyNumberFormat="1" applyFont="1" applyBorder="1" applyAlignment="1">
      <alignment horizontal="right"/>
    </xf>
    <xf numFmtId="4" fontId="1" fillId="0" borderId="2" xfId="0" applyNumberFormat="1" applyFont="1" applyBorder="1" applyAlignment="1"/>
    <xf numFmtId="4" fontId="1" fillId="3" borderId="2" xfId="0" applyNumberFormat="1" applyFont="1" applyFill="1" applyBorder="1" applyAlignment="1">
      <alignment horizontal="right"/>
    </xf>
    <xf numFmtId="4" fontId="1" fillId="0" borderId="0" xfId="0" applyNumberFormat="1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911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1" width="5.109375" customWidth="1"/>
    <col min="2" max="2" width="11.88671875" customWidth="1"/>
    <col min="3" max="3" width="11.33203125" customWidth="1"/>
    <col min="4" max="5" width="11.77734375" customWidth="1"/>
    <col min="6" max="6" width="10.21875" customWidth="1"/>
    <col min="7" max="7" width="6.33203125" customWidth="1"/>
    <col min="8" max="8" width="8.44140625" customWidth="1"/>
    <col min="9" max="12" width="5.6640625" customWidth="1"/>
    <col min="13" max="13" width="5.33203125" customWidth="1"/>
    <col min="14" max="14" width="4.44140625" customWidth="1"/>
    <col min="15" max="15" width="3.33203125" customWidth="1"/>
    <col min="16" max="16" width="9.21875" customWidth="1"/>
    <col min="17" max="17" width="6.88671875" customWidth="1"/>
    <col min="18" max="18" width="4.44140625" customWidth="1"/>
    <col min="19" max="19" width="10.6640625" customWidth="1"/>
    <col min="20" max="20" width="7.109375" customWidth="1"/>
    <col min="21" max="21" width="13" customWidth="1"/>
    <col min="22" max="22" width="11.109375" customWidth="1"/>
    <col min="23" max="23" width="6.109375" customWidth="1"/>
    <col min="24" max="24" width="4.44140625" customWidth="1"/>
    <col min="25" max="25" width="4.21875" customWidth="1"/>
    <col min="26" max="26" width="9.6640625" customWidth="1"/>
    <col min="27" max="29" width="7.44140625" customWidth="1"/>
    <col min="30" max="30" width="6.109375" customWidth="1"/>
    <col min="31" max="31" width="5.6640625" customWidth="1"/>
  </cols>
  <sheetData>
    <row r="1" spans="1:37" x14ac:dyDescent="0.25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2" t="s">
        <v>8</v>
      </c>
      <c r="Q1" s="12" t="s">
        <v>9</v>
      </c>
      <c r="R1" s="12" t="s">
        <v>10</v>
      </c>
      <c r="S1" s="12" t="s">
        <v>11</v>
      </c>
      <c r="T1" s="12" t="s">
        <v>12</v>
      </c>
      <c r="U1" s="12" t="s">
        <v>13</v>
      </c>
      <c r="V1" s="12" t="s">
        <v>14</v>
      </c>
      <c r="W1" s="12" t="s">
        <v>5</v>
      </c>
      <c r="X1" s="12" t="s">
        <v>6</v>
      </c>
      <c r="Y1" s="12" t="s">
        <v>7</v>
      </c>
      <c r="Z1" s="14" t="s">
        <v>15</v>
      </c>
      <c r="AA1" s="14" t="s">
        <v>16</v>
      </c>
      <c r="AB1" s="1" t="s">
        <v>1</v>
      </c>
      <c r="AC1" s="1" t="s">
        <v>2</v>
      </c>
      <c r="AD1" s="1" t="s">
        <v>3</v>
      </c>
      <c r="AE1" s="1" t="s">
        <v>4</v>
      </c>
      <c r="AF1" s="2"/>
      <c r="AG1" s="2"/>
      <c r="AH1" s="2"/>
      <c r="AI1" s="2"/>
      <c r="AJ1" s="2"/>
      <c r="AK1" s="2"/>
    </row>
    <row r="2" spans="1:37" x14ac:dyDescent="0.25">
      <c r="A2" s="13"/>
      <c r="B2" s="15" t="s">
        <v>17</v>
      </c>
      <c r="C2" s="16"/>
      <c r="D2" s="16"/>
      <c r="E2" s="16"/>
      <c r="F2" s="16"/>
      <c r="G2" s="16"/>
      <c r="H2" s="17"/>
      <c r="I2" s="15" t="s">
        <v>18</v>
      </c>
      <c r="J2" s="16"/>
      <c r="K2" s="16"/>
      <c r="L2" s="16"/>
      <c r="M2" s="16"/>
      <c r="N2" s="16"/>
      <c r="O2" s="17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5" t="s">
        <v>18</v>
      </c>
      <c r="AC2" s="16"/>
      <c r="AD2" s="16"/>
      <c r="AE2" s="17"/>
      <c r="AF2" s="2"/>
      <c r="AG2" s="2"/>
      <c r="AH2" s="2"/>
      <c r="AI2" s="2"/>
      <c r="AJ2" s="2"/>
      <c r="AK2" s="2"/>
    </row>
    <row r="3" spans="1:37" x14ac:dyDescent="0.25">
      <c r="A3" s="3">
        <v>46108</v>
      </c>
      <c r="B3" s="4" t="s">
        <v>19</v>
      </c>
      <c r="C3" s="4" t="s">
        <v>20</v>
      </c>
      <c r="D3" s="4" t="s">
        <v>21</v>
      </c>
      <c r="E3" s="4"/>
      <c r="F3" s="4"/>
      <c r="G3" s="4"/>
      <c r="H3" s="4"/>
      <c r="I3" s="5">
        <v>0.25</v>
      </c>
      <c r="J3" s="5">
        <v>0.3</v>
      </c>
      <c r="K3" s="5">
        <v>0.45</v>
      </c>
      <c r="L3" s="6"/>
      <c r="M3" s="6"/>
      <c r="N3" s="6"/>
      <c r="O3" s="6"/>
      <c r="P3" s="7">
        <v>10000</v>
      </c>
      <c r="Q3" s="8" t="s">
        <v>22</v>
      </c>
      <c r="R3" s="7">
        <v>4</v>
      </c>
      <c r="S3" s="9">
        <f t="shared" ref="S3:S6" si="0">P3/R3</f>
        <v>2500</v>
      </c>
      <c r="T3" s="5">
        <v>0.3</v>
      </c>
      <c r="U3" s="9">
        <f t="shared" ref="U3:U6" si="1">S3*T3</f>
        <v>750</v>
      </c>
      <c r="V3" s="9">
        <f t="shared" ref="V3:V6" si="2">S3-U3</f>
        <v>1750</v>
      </c>
      <c r="W3" s="9">
        <f t="shared" ref="W3:W6" si="3">V3*M3</f>
        <v>0</v>
      </c>
      <c r="X3" s="9">
        <f t="shared" ref="X3:X6" si="4">V3*N3</f>
        <v>0</v>
      </c>
      <c r="Y3" s="9">
        <f t="shared" ref="Y3:Y6" si="5">V3*O3</f>
        <v>0</v>
      </c>
      <c r="Z3" s="9">
        <f t="shared" ref="Z3:Z6" si="6">V3-W3-X3-Y3</f>
        <v>1750</v>
      </c>
      <c r="AA3" s="9">
        <f t="shared" ref="AA3:AA6" si="7">Z3*20%</f>
        <v>350</v>
      </c>
      <c r="AB3" s="9">
        <f t="shared" ref="AB3:AB6" si="8">AA3*I3</f>
        <v>87.5</v>
      </c>
      <c r="AC3" s="9">
        <f t="shared" ref="AC3:AC6" si="9">AA3*J3</f>
        <v>105</v>
      </c>
      <c r="AD3" s="9">
        <f t="shared" ref="AD3:AD6" si="10">AA3*K3</f>
        <v>157.5</v>
      </c>
      <c r="AE3" s="9">
        <f t="shared" ref="AE3:AE6" si="11">AA3*L3</f>
        <v>0</v>
      </c>
      <c r="AF3" s="10"/>
      <c r="AG3" s="10"/>
      <c r="AH3" s="10"/>
      <c r="AI3" s="10"/>
      <c r="AJ3" s="10"/>
      <c r="AK3" s="10"/>
    </row>
    <row r="4" spans="1:37" x14ac:dyDescent="0.25">
      <c r="A4" s="3">
        <v>46108</v>
      </c>
      <c r="B4" s="4" t="s">
        <v>20</v>
      </c>
      <c r="C4" s="4"/>
      <c r="D4" s="4"/>
      <c r="E4" s="4"/>
      <c r="F4" s="4"/>
      <c r="G4" s="4"/>
      <c r="H4" s="4"/>
      <c r="I4" s="5">
        <v>0.5</v>
      </c>
      <c r="J4" s="6"/>
      <c r="K4" s="6"/>
      <c r="L4" s="6"/>
      <c r="M4" s="6"/>
      <c r="N4" s="6"/>
      <c r="O4" s="6"/>
      <c r="P4" s="7">
        <v>1500</v>
      </c>
      <c r="Q4" s="8" t="s">
        <v>22</v>
      </c>
      <c r="R4" s="7">
        <v>4</v>
      </c>
      <c r="S4" s="9">
        <f t="shared" si="0"/>
        <v>375</v>
      </c>
      <c r="T4" s="5">
        <v>0.2</v>
      </c>
      <c r="U4" s="9">
        <f t="shared" si="1"/>
        <v>75</v>
      </c>
      <c r="V4" s="9">
        <f t="shared" si="2"/>
        <v>300</v>
      </c>
      <c r="W4" s="9">
        <f t="shared" si="3"/>
        <v>0</v>
      </c>
      <c r="X4" s="9">
        <f t="shared" si="4"/>
        <v>0</v>
      </c>
      <c r="Y4" s="9">
        <f t="shared" si="5"/>
        <v>0</v>
      </c>
      <c r="Z4" s="9">
        <f t="shared" si="6"/>
        <v>300</v>
      </c>
      <c r="AA4" s="9">
        <f t="shared" si="7"/>
        <v>60</v>
      </c>
      <c r="AB4" s="9">
        <f t="shared" si="8"/>
        <v>30</v>
      </c>
      <c r="AC4" s="9">
        <f t="shared" si="9"/>
        <v>0</v>
      </c>
      <c r="AD4" s="9">
        <f t="shared" si="10"/>
        <v>0</v>
      </c>
      <c r="AE4" s="9">
        <f t="shared" si="11"/>
        <v>0</v>
      </c>
      <c r="AF4" s="10"/>
      <c r="AG4" s="10"/>
      <c r="AH4" s="10"/>
      <c r="AI4" s="10"/>
      <c r="AJ4" s="10"/>
      <c r="AK4" s="10"/>
    </row>
    <row r="5" spans="1:37" x14ac:dyDescent="0.25">
      <c r="A5" s="3">
        <v>46108</v>
      </c>
      <c r="B5" s="4" t="s">
        <v>20</v>
      </c>
      <c r="C5" s="4" t="s">
        <v>23</v>
      </c>
      <c r="D5" s="4" t="s">
        <v>24</v>
      </c>
      <c r="E5" s="4"/>
      <c r="F5" s="4"/>
      <c r="G5" s="4"/>
      <c r="H5" s="4"/>
      <c r="I5" s="5">
        <v>0.25</v>
      </c>
      <c r="J5" s="5">
        <v>0.6</v>
      </c>
      <c r="K5" s="5">
        <v>0.15</v>
      </c>
      <c r="L5" s="6"/>
      <c r="M5" s="6"/>
      <c r="N5" s="6"/>
      <c r="O5" s="6"/>
      <c r="P5" s="7">
        <v>10000</v>
      </c>
      <c r="Q5" s="8" t="s">
        <v>22</v>
      </c>
      <c r="R5" s="7">
        <v>4</v>
      </c>
      <c r="S5" s="9">
        <f t="shared" si="0"/>
        <v>2500</v>
      </c>
      <c r="T5" s="5">
        <v>0.3</v>
      </c>
      <c r="U5" s="9">
        <f t="shared" si="1"/>
        <v>750</v>
      </c>
      <c r="V5" s="9">
        <f t="shared" si="2"/>
        <v>1750</v>
      </c>
      <c r="W5" s="9">
        <f t="shared" si="3"/>
        <v>0</v>
      </c>
      <c r="X5" s="9">
        <f t="shared" si="4"/>
        <v>0</v>
      </c>
      <c r="Y5" s="9">
        <f t="shared" si="5"/>
        <v>0</v>
      </c>
      <c r="Z5" s="9">
        <f t="shared" si="6"/>
        <v>1750</v>
      </c>
      <c r="AA5" s="9">
        <f t="shared" si="7"/>
        <v>350</v>
      </c>
      <c r="AB5" s="9">
        <f t="shared" si="8"/>
        <v>87.5</v>
      </c>
      <c r="AC5" s="9">
        <f t="shared" si="9"/>
        <v>210</v>
      </c>
      <c r="AD5" s="9">
        <f t="shared" si="10"/>
        <v>52.5</v>
      </c>
      <c r="AE5" s="9">
        <f t="shared" si="11"/>
        <v>0</v>
      </c>
      <c r="AF5" s="10"/>
      <c r="AG5" s="10"/>
      <c r="AH5" s="10"/>
      <c r="AI5" s="10"/>
      <c r="AJ5" s="10"/>
      <c r="AK5" s="10"/>
    </row>
    <row r="6" spans="1:37" x14ac:dyDescent="0.25">
      <c r="A6" s="3">
        <v>46108</v>
      </c>
      <c r="B6" s="4" t="s">
        <v>25</v>
      </c>
      <c r="C6" s="4" t="s">
        <v>20</v>
      </c>
      <c r="D6" s="4" t="s">
        <v>19</v>
      </c>
      <c r="E6" s="4"/>
      <c r="F6" s="4"/>
      <c r="G6" s="4"/>
      <c r="H6" s="4"/>
      <c r="I6" s="5">
        <v>0.25</v>
      </c>
      <c r="J6" s="5">
        <v>0.3</v>
      </c>
      <c r="K6" s="5">
        <v>0.45</v>
      </c>
      <c r="L6" s="6"/>
      <c r="M6" s="6"/>
      <c r="N6" s="6"/>
      <c r="O6" s="6"/>
      <c r="P6" s="7">
        <v>4000</v>
      </c>
      <c r="Q6" s="8" t="s">
        <v>22</v>
      </c>
      <c r="R6" s="7">
        <v>4</v>
      </c>
      <c r="S6" s="9">
        <f t="shared" si="0"/>
        <v>1000</v>
      </c>
      <c r="T6" s="5">
        <v>0.4</v>
      </c>
      <c r="U6" s="9">
        <f t="shared" si="1"/>
        <v>400</v>
      </c>
      <c r="V6" s="9">
        <f t="shared" si="2"/>
        <v>600</v>
      </c>
      <c r="W6" s="9">
        <f t="shared" si="3"/>
        <v>0</v>
      </c>
      <c r="X6" s="9">
        <f t="shared" si="4"/>
        <v>0</v>
      </c>
      <c r="Y6" s="9">
        <f t="shared" si="5"/>
        <v>0</v>
      </c>
      <c r="Z6" s="9">
        <f t="shared" si="6"/>
        <v>600</v>
      </c>
      <c r="AA6" s="9">
        <f t="shared" si="7"/>
        <v>120</v>
      </c>
      <c r="AB6" s="9">
        <f t="shared" si="8"/>
        <v>30</v>
      </c>
      <c r="AC6" s="9">
        <f t="shared" si="9"/>
        <v>36</v>
      </c>
      <c r="AD6" s="9">
        <f t="shared" si="10"/>
        <v>54</v>
      </c>
      <c r="AE6" s="9">
        <f t="shared" si="11"/>
        <v>0</v>
      </c>
      <c r="AF6" s="10"/>
      <c r="AG6" s="10"/>
      <c r="AH6" s="10"/>
      <c r="AI6" s="10"/>
      <c r="AJ6" s="10"/>
      <c r="AK6" s="10"/>
    </row>
    <row r="7" spans="1:3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37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spans="1:37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spans="1:37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spans="1:37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spans="1:37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spans="1:37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spans="1:37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spans="1:37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spans="1:37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1:37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spans="1:37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spans="1:3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spans="1:37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1:37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1:37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spans="1:37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spans="1:3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spans="1:37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spans="1:37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spans="1:37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spans="1:37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spans="1:37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spans="1:37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spans="1:37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spans="1:37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spans="1:37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spans="1:37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spans="1:37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spans="1:37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spans="1:37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spans="1:37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spans="1:37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spans="1:37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spans="1:37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spans="1:37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spans="1:37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spans="1:37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spans="1:37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spans="1:37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spans="1:37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spans="1:37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spans="1:37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spans="1:37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spans="1:37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spans="1:37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spans="1:37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spans="1:37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spans="1:37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spans="1:37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spans="1:37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spans="1:37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spans="1:37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spans="1:37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spans="1:37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spans="1:37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spans="1:37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spans="1:37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spans="1:37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spans="1:37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spans="1:37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spans="1:37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spans="1:37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spans="1:37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spans="1:37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spans="1:37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spans="1:37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spans="1:37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spans="1:37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spans="1:37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spans="1:37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spans="1:37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spans="1:37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spans="1:37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spans="1:37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spans="1:37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spans="1:37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spans="1:37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spans="1:37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spans="1:37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spans="1:37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spans="1:37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spans="1:37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spans="1:37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spans="1:37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spans="1:37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spans="1:37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spans="1:37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spans="1:37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spans="1:37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spans="1:37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spans="1:37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spans="1:37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spans="1:37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spans="1:37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spans="1:37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spans="1:37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spans="1:37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spans="1:37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spans="1:37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spans="1:37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spans="1:37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spans="1:37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spans="1:37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spans="1:37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spans="1:37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spans="1:37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spans="1:37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spans="1:37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spans="1:37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spans="1:37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spans="1:37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spans="1:37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spans="1:37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spans="1:37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spans="1:37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spans="1:37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spans="1:37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spans="1:37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spans="1:37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spans="1:37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spans="1:37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spans="1:37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spans="1:37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spans="1:37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spans="1:37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spans="1:37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spans="1:37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spans="1:37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spans="1:37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spans="1:37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spans="1:37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spans="1:37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spans="1:37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spans="1:37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spans="1:37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spans="1:37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spans="1:37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spans="1:37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spans="1:37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spans="1:37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spans="1:37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spans="1:37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spans="1:37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spans="1:37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spans="1:37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spans="1:37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spans="1:37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spans="1:37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spans="1:37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spans="1:37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spans="1:37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spans="1:37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spans="1:37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spans="1:37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spans="1:37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spans="1:37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spans="1:37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spans="1:37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spans="1:37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spans="1:37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spans="1:37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spans="1:37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spans="1:37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spans="1:37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spans="1:37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spans="1:37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spans="1:37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spans="1:37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spans="1:37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spans="1:37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spans="1:37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spans="1:37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spans="1:37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spans="1:37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spans="1:37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spans="1:37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spans="1:37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spans="1:37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spans="1:37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spans="1:37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spans="1:37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spans="1:37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spans="1:37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spans="1:37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spans="1:37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spans="1:37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spans="1:37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spans="1:37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spans="1:37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spans="1:37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spans="1:37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spans="1:37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spans="1:37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spans="1:37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spans="1:37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spans="1:37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spans="1:37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spans="1:37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spans="1:37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spans="1:37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spans="1:37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spans="1:37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spans="1:37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spans="1:37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spans="1:37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spans="1:37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spans="1:37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spans="1:37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spans="1:37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spans="1:37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spans="1:37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spans="1:37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spans="1:37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spans="1:37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spans="1:37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spans="1:37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spans="1:37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spans="1:37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spans="1:37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spans="1:37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spans="1:37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spans="1:37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spans="1:37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spans="1:37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spans="1:37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spans="1:37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spans="1:37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spans="1:37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spans="1:37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spans="1:37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spans="1:37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spans="1:37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spans="1:37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spans="1:37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spans="1:37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spans="1:37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spans="1:37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spans="1:37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spans="1:37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spans="1:37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spans="1:37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spans="1:37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spans="1:37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spans="1:37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spans="1:37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spans="1:37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spans="1:37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spans="1:37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spans="1:37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spans="1:37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spans="1:37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spans="1:37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spans="1:37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spans="1:37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spans="1:37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spans="1:37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spans="1:37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spans="1:37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spans="1:37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spans="1:37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spans="1:37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spans="1:37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spans="1:37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spans="1:37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spans="1:37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spans="1:37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spans="1:37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spans="1:37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spans="1:37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spans="1:37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spans="1:37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spans="1:37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spans="1:37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spans="1:37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spans="1:37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spans="1:37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spans="1:37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spans="1:37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spans="1:37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spans="1:37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spans="1:37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spans="1:37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spans="1:37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spans="1:37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spans="1:37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spans="1:37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spans="1:37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spans="1:37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spans="1:37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spans="1:37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spans="1:37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spans="1:37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spans="1:37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spans="1:37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spans="1:37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spans="1:37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spans="1:37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spans="1:37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spans="1:37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spans="1:37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spans="1:37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spans="1:37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spans="1:37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spans="1:37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spans="1:37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spans="1:37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spans="1:37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spans="1:37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spans="1:37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spans="1:37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spans="1:37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spans="1:37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spans="1:37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spans="1:37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spans="1:37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spans="1:37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spans="1:37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spans="1:37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spans="1:37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spans="1:37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spans="1:37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spans="1:37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spans="1:37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spans="1:37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spans="1:37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spans="1:37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spans="1:37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spans="1:37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spans="1:37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spans="1:37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spans="1:37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spans="1:37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spans="1:37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spans="1:37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spans="1:37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spans="1:37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spans="1:37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spans="1:37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spans="1:37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spans="1:37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spans="1:37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spans="1:37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spans="1:37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spans="1:37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spans="1:37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spans="1:37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spans="1:37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spans="1:37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spans="1:37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spans="1:37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spans="1:37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spans="1:37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spans="1:37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spans="1:37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spans="1:37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spans="1:37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spans="1:37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spans="1:37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spans="1:37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spans="1:37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spans="1:37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spans="1:37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spans="1:37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spans="1:37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spans="1:37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spans="1:37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spans="1:37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spans="1:37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spans="1:37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spans="1:37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spans="1:37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spans="1:37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spans="1:37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spans="1:37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spans="1:37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spans="1:37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spans="1:37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spans="1:37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spans="1:37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spans="1:37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spans="1:37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spans="1:37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spans="1:37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spans="1:37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spans="1:37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spans="1:37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spans="1:37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spans="1:37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spans="1:37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spans="1:37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spans="1:37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spans="1:37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spans="1:37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spans="1:37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spans="1:37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spans="1:37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spans="1:37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spans="1:37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spans="1:37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spans="1:37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spans="1:37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spans="1:37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spans="1:37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spans="1:37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spans="1:37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spans="1:37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spans="1:37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spans="1:37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spans="1:37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spans="1:37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spans="1:37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spans="1:37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spans="1:37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spans="1:37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spans="1:37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spans="1:37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spans="1:37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spans="1:37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spans="1:37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spans="1:37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spans="1:37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spans="1:37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spans="1:37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spans="1:37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spans="1:37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spans="1:37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spans="1:37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spans="1:37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spans="1:37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spans="1:37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spans="1:37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spans="1:37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spans="1:37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spans="1:37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spans="1:37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spans="1:37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spans="1:37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spans="1:37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spans="1:37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spans="1:37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spans="1:37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spans="1:37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spans="1:37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spans="1:37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spans="1:37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spans="1:37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spans="1:37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spans="1:37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spans="1:37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spans="1:37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spans="1:37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spans="1:37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spans="1:37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spans="1:37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spans="1:37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spans="1:37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spans="1:37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spans="1:37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spans="1:37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spans="1:37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spans="1:37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spans="1:37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spans="1:37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spans="1:37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spans="1:37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spans="1:37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spans="1:37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spans="1:37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spans="1:37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spans="1:37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spans="1:37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spans="1:37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spans="1:37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spans="1:37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spans="1:37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spans="1:37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spans="1:37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spans="1:37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spans="1:37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spans="1:37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spans="1:37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spans="1:37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spans="1:37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spans="1:37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spans="1:37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spans="1:37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spans="1:37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spans="1:37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spans="1:37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spans="1:37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spans="1:37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spans="1:37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spans="1:37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spans="1:37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spans="1:37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spans="1:37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spans="1:37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spans="1:37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spans="1:37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spans="1:37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spans="1:37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spans="1:37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spans="1:37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spans="1:37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spans="1:37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spans="1:37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spans="1:37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spans="1:37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spans="1:37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spans="1:37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spans="1:37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spans="1:37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spans="1:37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spans="1:37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spans="1:37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spans="1:37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spans="1:37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spans="1:37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spans="1:37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spans="1:37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spans="1:37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spans="1:37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spans="1:37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spans="1:37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spans="1:37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spans="1:37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spans="1:37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spans="1:37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spans="1:37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spans="1:37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spans="1:37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spans="1:37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spans="1:37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spans="1:37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spans="1:37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spans="1:37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spans="1:37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spans="1:37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spans="1:37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spans="1:37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spans="1:37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spans="1:37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spans="1:37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spans="1:37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spans="1:37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spans="1:37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spans="1:37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spans="1:37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spans="1:37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spans="1:37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spans="1:37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spans="1:37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spans="1:37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spans="1:37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spans="1:37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spans="1:37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spans="1:37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spans="1:37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spans="1:37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spans="1:37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spans="1:37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spans="1:37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spans="1:37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spans="1:37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spans="1:37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spans="1:37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spans="1:37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spans="1:37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spans="1:37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spans="1:37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spans="1:37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spans="1:37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spans="1:37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spans="1:37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spans="1:37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spans="1:37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spans="1:37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spans="1:37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spans="1:37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spans="1:37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spans="1:37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spans="1:37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spans="1:37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spans="1:37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spans="1:37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spans="1:37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spans="1:37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spans="1:37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spans="1:37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spans="1:37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spans="1:37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spans="1:37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spans="1:37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spans="1:37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spans="1:37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spans="1:37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spans="1:37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spans="1:37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spans="1:37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spans="1:37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spans="1:37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spans="1:37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spans="1:37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spans="1:37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spans="1:37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spans="1:37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spans="1:37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spans="1:37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spans="1:37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spans="1:37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spans="1:37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spans="1:37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spans="1:37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spans="1:37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spans="1:37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spans="1:37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spans="1:37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spans="1:37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spans="1:37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spans="1:37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spans="1:37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spans="1:37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spans="1:37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spans="1:37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spans="1:37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spans="1:37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spans="1:37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spans="1:37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spans="1:37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spans="1:37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spans="1:37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spans="1:37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spans="1:37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spans="1:37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spans="1:37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spans="1:37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spans="1:37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spans="1:37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spans="1:37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spans="1:37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spans="1:37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spans="1:37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spans="1:37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spans="1:37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spans="1:37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spans="1:37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spans="1:37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spans="1:37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spans="1:37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spans="1:37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spans="1:37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spans="1:37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spans="1:37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spans="1:37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spans="1:37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spans="1:37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spans="1:37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spans="1:37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spans="1:37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spans="1:37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spans="1:37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spans="1:37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spans="1:37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spans="1:37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spans="1:37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spans="1:37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spans="1:37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spans="1:37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spans="1:37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spans="1:37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spans="1:37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spans="1:37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spans="1:37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spans="1:37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spans="1:37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spans="1:37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spans="1:37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spans="1:37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spans="1:37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spans="1:37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spans="1:37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spans="1:37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spans="1:37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spans="1:37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spans="1:37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spans="1:37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spans="1:37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spans="1:37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spans="1:37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spans="1:37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spans="1:37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spans="1:37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spans="1:37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spans="1:37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spans="1:37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spans="1:37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spans="1:37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spans="1:37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spans="1:37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spans="1:37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spans="1:37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spans="1:37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spans="1:37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spans="1:37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spans="1:37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spans="1:37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spans="1:37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spans="1:37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spans="1:37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spans="1:37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spans="1:37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spans="1:37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spans="1:37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spans="1:37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spans="1:37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spans="1:37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spans="1:37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spans="1:37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spans="1:37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spans="1:37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spans="1:37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spans="1:37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spans="1:37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spans="1:37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spans="1:37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spans="1:37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spans="1:37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spans="1:37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spans="1:37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spans="1:37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spans="1:37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spans="1:37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spans="1:37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spans="1:37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spans="1:37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spans="1:37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spans="1:37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spans="1:37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spans="1:37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spans="1:37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spans="1:37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spans="1:37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spans="1:37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spans="1:37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spans="1:37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spans="1:37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spans="1:37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spans="1:37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spans="1:37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spans="1:37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spans="1:37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spans="1:37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spans="1:37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spans="1:37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spans="1:37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spans="1:37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spans="1:37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spans="1:37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spans="1:37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spans="1:37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spans="1:37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spans="1:37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spans="1:37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spans="1:37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spans="1:37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spans="1:37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spans="1:37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spans="1:37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spans="1:37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spans="1:37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spans="1:37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spans="1:37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spans="1:37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spans="1:37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spans="1:37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spans="1:37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spans="1:37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spans="1:37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spans="1:37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spans="1:37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spans="1:37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spans="1:37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spans="1:37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spans="1:37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spans="1:37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spans="1:37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spans="1:37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spans="1:37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spans="1:37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spans="1:37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spans="1:37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spans="1:37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spans="1:37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spans="1:37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spans="1:37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spans="1:37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spans="1:37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spans="1:37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spans="1:37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spans="1:37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spans="1:37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spans="1:37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spans="1:37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spans="1:37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spans="1:37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spans="1:37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spans="1:37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spans="1:37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spans="1:37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spans="1:37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spans="1:37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spans="1:37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spans="1:37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spans="1:37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spans="1:37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spans="1:37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spans="1:37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spans="1:37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spans="1:37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spans="1:37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spans="1:37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spans="1:37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spans="1:37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spans="1:37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spans="1:37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spans="1:37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spans="1:37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spans="1:37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spans="1:37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spans="1:37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spans="1:37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spans="1:37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spans="1:37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spans="1:37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spans="1:37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spans="1:37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spans="1:37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spans="1:37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spans="1:37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spans="1:37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spans="1:37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spans="1:37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spans="1:37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spans="1:37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spans="1:37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spans="1:37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spans="1:37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spans="1:37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spans="1:37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spans="1:37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spans="1:37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spans="1:37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spans="1:37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spans="1:37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spans="1:37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spans="1:37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spans="1:37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spans="1:37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spans="1:37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spans="1:37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spans="1:37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spans="1:37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spans="1:37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spans="1:37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spans="1:37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spans="1:37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spans="1:37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spans="1:37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spans="1:37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spans="1:37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spans="1:37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spans="1:37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spans="1:37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spans="1:37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spans="1:37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spans="1:37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spans="1:37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spans="1:37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spans="1:37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spans="1:37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spans="1:37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spans="1:37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spans="1:37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spans="1:37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spans="1:37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spans="1:37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spans="1:37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spans="1:37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spans="1:37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spans="1:37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spans="1:37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spans="1:37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spans="1:37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spans="1:37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spans="1:37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</sheetData>
  <mergeCells count="16">
    <mergeCell ref="AA1:AA2"/>
    <mergeCell ref="AB2:AE2"/>
    <mergeCell ref="B2:H2"/>
    <mergeCell ref="I2:O2"/>
    <mergeCell ref="A1:A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</mergeCells>
  <dataValidations count="1">
    <dataValidation type="list" allowBlank="1" showErrorMessage="1" sqref="B3:H6" xr:uid="{00000000-0002-0000-0000-000000000000}">
      <formula1>"Вадим,Вадим2,Дима,Игорь,Коля,Коля к2,Олег,Сергей,Таня,Юля,Кар,Инфо,AI,М,ДП2,В,И,О,Ол,Т,С,Ром,Юр,Кр,КОП,К,Д,Миша"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Учет сделок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dpshrek</cp:lastModifiedBy>
  <dcterms:modified xsi:type="dcterms:W3CDTF">2026-05-19T09:15:07Z</dcterms:modified>
</cp:coreProperties>
</file>